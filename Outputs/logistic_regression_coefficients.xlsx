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t0lweegod1_goetheuniversitaet_onmicrosoft_com/Documents/Master/2nd Semester/DSMA/Term paper/outputs/final_model_comparison/"/>
    </mc:Choice>
  </mc:AlternateContent>
  <xr:revisionPtr revIDLastSave="47" documentId="11_A06F88A44F206E662D11A2E564AA7B47E0294372" xr6:coauthVersionLast="47" xr6:coauthVersionMax="47" xr10:uidLastSave="{3ED5100C-16A6-AB47-94C9-B28844B444CE}"/>
  <bookViews>
    <workbookView xWindow="-20" yWindow="680" windowWidth="14720" windowHeight="18460" xr2:uid="{00000000-000D-0000-FFFF-FFFF00000000}"/>
  </bookViews>
  <sheets>
    <sheet name="Wide (side-by-side)" sheetId="1" r:id="rId1"/>
    <sheet name="Without Weather" sheetId="2" r:id="rId2"/>
    <sheet name="With Weath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</calcChain>
</file>

<file path=xl/sharedStrings.xml><?xml version="1.0" encoding="utf-8"?>
<sst xmlns="http://schemas.openxmlformats.org/spreadsheetml/2006/main" count="387" uniqueCount="60">
  <si>
    <t>feature</t>
  </si>
  <si>
    <t>coefficient_base</t>
  </si>
  <si>
    <t>std_error_base</t>
  </si>
  <si>
    <t>odds_ratio_base</t>
  </si>
  <si>
    <t>significance_base</t>
  </si>
  <si>
    <t>coefficient_weather</t>
  </si>
  <si>
    <t>std_error_weather</t>
  </si>
  <si>
    <t>odds_ratio_weather</t>
  </si>
  <si>
    <t>significance_weather</t>
  </si>
  <si>
    <t>(Intercept)</t>
  </si>
  <si>
    <t>***</t>
  </si>
  <si>
    <t>-</t>
  </si>
  <si>
    <t>prior_business_avg_stars</t>
  </si>
  <si>
    <t>positive</t>
  </si>
  <si>
    <t>service_score</t>
  </si>
  <si>
    <t>*</t>
  </si>
  <si>
    <t>cat_beauty_and_spas</t>
  </si>
  <si>
    <t>**</t>
  </si>
  <si>
    <t>cat_sandwiches</t>
  </si>
  <si>
    <t>negative</t>
  </si>
  <si>
    <t>cat_american_traditional</t>
  </si>
  <si>
    <t>ambience_score</t>
  </si>
  <si>
    <t/>
  </si>
  <si>
    <t>cat_coffee_and_tea</t>
  </si>
  <si>
    <t>attr_bike_parking</t>
  </si>
  <si>
    <t>attr_caters</t>
  </si>
  <si>
    <t>cat_breakfast_and_brunch</t>
  </si>
  <si>
    <t>cat_bars</t>
  </si>
  <si>
    <t>cat_seafood</t>
  </si>
  <si>
    <t>attr_wifi_available</t>
  </si>
  <si>
    <t>attr_has_tv</t>
  </si>
  <si>
    <t>cat_nightlife</t>
  </si>
  <si>
    <t>cat_shopping</t>
  </si>
  <si>
    <t>attr_delivery</t>
  </si>
  <si>
    <t>price_score</t>
  </si>
  <si>
    <t>attr_good_for_kids</t>
  </si>
  <si>
    <t>attr_alcohol_present</t>
  </si>
  <si>
    <t>cat_pizza</t>
  </si>
  <si>
    <t>attr_noise_score</t>
  </si>
  <si>
    <t>cat_italian</t>
  </si>
  <si>
    <t>cat_event_planning_and_services</t>
  </si>
  <si>
    <t>cat_food</t>
  </si>
  <si>
    <t>attr_outdoor_seating</t>
  </si>
  <si>
    <t>cat_american_new</t>
  </si>
  <si>
    <t>cat_chinese</t>
  </si>
  <si>
    <t>business_review_count_before</t>
  </si>
  <si>
    <t>attr_takeout</t>
  </si>
  <si>
    <t>PRCP</t>
  </si>
  <si>
    <t>TMAX</t>
  </si>
  <si>
    <t>TMIN</t>
  </si>
  <si>
    <t>coefficient</t>
  </si>
  <si>
    <t>std_error</t>
  </si>
  <si>
    <t>z_value</t>
  </si>
  <si>
    <t>p_value</t>
  </si>
  <si>
    <t>feature_set</t>
  </si>
  <si>
    <t>odds_ratio</t>
  </si>
  <si>
    <t>significance</t>
  </si>
  <si>
    <t>direction</t>
  </si>
  <si>
    <t>Without Weather</t>
  </si>
  <si>
    <t>With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</si>
</sst>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A5" sqref="A5:XFD5"/>
    </sheetView>
  </sheetViews>
  <sheetFormatPr baseColWidth="10" defaultRowHeight="15" x14ac:dyDescent="0.2"/>
  <cols>
    <col min="1" max="1" width="22.6640625" customWidth="1"/>
    <col min="6" max="6" width="5.5" customWidth="1"/>
    <col min="11" max="11" width="4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</row>
    <row r="2" spans="1:11" s="1" customFormat="1" ht="16" x14ac:dyDescent="0.2">
      <c r="A2" s="1" t="s">
        <v>9</v>
      </c>
      <c r="B2" s="1">
        <v>-3.3416000000000001</v>
      </c>
      <c r="C2" s="1">
        <v>0.11210000000000001</v>
      </c>
      <c r="D2" s="1">
        <f>ROUND(C2,2)</f>
        <v>0.11</v>
      </c>
      <c r="E2" s="1">
        <v>3.5400000000000001E-2</v>
      </c>
      <c r="F2" s="1" t="s">
        <v>10</v>
      </c>
      <c r="G2" s="1">
        <v>-3.2926000000000002</v>
      </c>
      <c r="H2" s="1">
        <v>0.1187</v>
      </c>
      <c r="I2" s="1">
        <f>ROUND(H2,2)</f>
        <v>0.12</v>
      </c>
      <c r="J2" s="1">
        <v>3.7199999999999997E-2</v>
      </c>
      <c r="K2" s="1" t="s">
        <v>10</v>
      </c>
    </row>
    <row r="3" spans="1:11" s="1" customFormat="1" ht="16" x14ac:dyDescent="0.2">
      <c r="A3" s="1" t="s">
        <v>12</v>
      </c>
      <c r="B3" s="1">
        <v>1.1281000000000001</v>
      </c>
      <c r="C3" s="1">
        <v>1.5900000000000001E-2</v>
      </c>
      <c r="D3" s="1">
        <f>ROUND(C3,2)</f>
        <v>0.02</v>
      </c>
      <c r="E3" s="1">
        <v>3.0897000000000001</v>
      </c>
      <c r="F3" s="1" t="s">
        <v>10</v>
      </c>
      <c r="G3" s="1">
        <v>1.1281000000000001</v>
      </c>
      <c r="H3" s="1">
        <v>1.5900000000000001E-2</v>
      </c>
      <c r="I3" s="1">
        <f t="shared" ref="I3:I35" si="0">ROUND(H3,2)</f>
        <v>0.02</v>
      </c>
      <c r="J3" s="1">
        <v>3.0899000000000001</v>
      </c>
      <c r="K3" s="1" t="s">
        <v>10</v>
      </c>
    </row>
    <row r="4" spans="1:11" s="1" customFormat="1" ht="16" x14ac:dyDescent="0.2">
      <c r="A4" s="1" t="s">
        <v>14</v>
      </c>
      <c r="B4" s="1">
        <v>0.23080000000000001</v>
      </c>
      <c r="C4" s="1">
        <v>9.3799999999999994E-2</v>
      </c>
      <c r="D4" s="1">
        <f>ROUND(C4,2)</f>
        <v>0.09</v>
      </c>
      <c r="E4" s="1">
        <v>1.2597</v>
      </c>
      <c r="F4" s="1" t="s">
        <v>15</v>
      </c>
      <c r="G4" s="1">
        <v>0.23050000000000001</v>
      </c>
      <c r="H4" s="1">
        <v>9.3799999999999994E-2</v>
      </c>
      <c r="I4" s="1">
        <f t="shared" si="0"/>
        <v>0.09</v>
      </c>
      <c r="J4" s="1">
        <v>1.2592000000000001</v>
      </c>
      <c r="K4" s="1" t="s">
        <v>15</v>
      </c>
    </row>
    <row r="5" spans="1:11" s="1" customFormat="1" ht="16" x14ac:dyDescent="0.2">
      <c r="A5" s="1" t="s">
        <v>16</v>
      </c>
      <c r="B5" s="1">
        <v>0.15079999999999999</v>
      </c>
      <c r="C5" s="1">
        <v>4.87E-2</v>
      </c>
      <c r="D5" s="1">
        <f>ROUND(C5,2)</f>
        <v>0.05</v>
      </c>
      <c r="E5" s="1">
        <v>1.1627000000000001</v>
      </c>
      <c r="F5" s="1" t="s">
        <v>17</v>
      </c>
      <c r="G5" s="1">
        <v>0.1512</v>
      </c>
      <c r="H5" s="1">
        <v>4.87E-2</v>
      </c>
      <c r="I5" s="1">
        <f t="shared" si="0"/>
        <v>0.05</v>
      </c>
      <c r="J5" s="1">
        <v>1.1632</v>
      </c>
      <c r="K5" s="1" t="s">
        <v>17</v>
      </c>
    </row>
    <row r="6" spans="1:11" s="1" customFormat="1" ht="16" x14ac:dyDescent="0.2">
      <c r="A6" s="1" t="s">
        <v>18</v>
      </c>
      <c r="B6" s="1">
        <v>-0.1171</v>
      </c>
      <c r="C6" s="1">
        <v>3.3599999999999998E-2</v>
      </c>
      <c r="D6" s="1">
        <f>ROUND(C6,2)</f>
        <v>0.03</v>
      </c>
      <c r="E6" s="1">
        <v>0.88949999999999996</v>
      </c>
      <c r="F6" s="1" t="s">
        <v>10</v>
      </c>
      <c r="G6" s="1">
        <v>-0.1167</v>
      </c>
      <c r="H6" s="1">
        <v>3.3700000000000001E-2</v>
      </c>
      <c r="I6" s="1">
        <f t="shared" si="0"/>
        <v>0.03</v>
      </c>
      <c r="J6" s="1">
        <v>0.88990000000000002</v>
      </c>
      <c r="K6" s="1" t="s">
        <v>10</v>
      </c>
    </row>
    <row r="7" spans="1:11" s="1" customFormat="1" ht="16" x14ac:dyDescent="0.2">
      <c r="A7" s="1" t="s">
        <v>20</v>
      </c>
      <c r="B7" s="1">
        <v>-0.1109</v>
      </c>
      <c r="C7" s="1">
        <v>3.2399999999999998E-2</v>
      </c>
      <c r="D7" s="1">
        <f>ROUND(C7,2)</f>
        <v>0.03</v>
      </c>
      <c r="E7" s="1">
        <v>0.89500000000000002</v>
      </c>
      <c r="F7" s="1" t="s">
        <v>10</v>
      </c>
      <c r="G7" s="1">
        <v>-0.11070000000000001</v>
      </c>
      <c r="H7" s="1">
        <v>3.2399999999999998E-2</v>
      </c>
      <c r="I7" s="1">
        <f t="shared" si="0"/>
        <v>0.03</v>
      </c>
      <c r="J7" s="1">
        <v>0.8952</v>
      </c>
      <c r="K7" s="1" t="s">
        <v>10</v>
      </c>
    </row>
    <row r="8" spans="1:11" s="1" customFormat="1" ht="16" x14ac:dyDescent="0.2">
      <c r="A8" s="1" t="s">
        <v>21</v>
      </c>
      <c r="B8" s="1">
        <v>-0.1061</v>
      </c>
      <c r="C8" s="1">
        <v>6.8500000000000005E-2</v>
      </c>
      <c r="D8" s="1">
        <f>ROUND(C8,2)</f>
        <v>7.0000000000000007E-2</v>
      </c>
      <c r="E8" s="1">
        <v>0.89939999999999998</v>
      </c>
      <c r="F8" s="1" t="s">
        <v>22</v>
      </c>
      <c r="G8" s="1">
        <v>-0.1066</v>
      </c>
      <c r="H8" s="1">
        <v>6.8500000000000005E-2</v>
      </c>
      <c r="I8" s="1">
        <f t="shared" si="0"/>
        <v>7.0000000000000007E-2</v>
      </c>
      <c r="J8" s="1">
        <v>0.89890000000000003</v>
      </c>
      <c r="K8" s="1" t="s">
        <v>22</v>
      </c>
    </row>
    <row r="9" spans="1:11" s="1" customFormat="1" ht="16" x14ac:dyDescent="0.2">
      <c r="A9" s="1" t="s">
        <v>23</v>
      </c>
      <c r="B9" s="1">
        <v>0.10390000000000001</v>
      </c>
      <c r="C9" s="1">
        <v>4.65E-2</v>
      </c>
      <c r="D9" s="1">
        <f>ROUND(C9,2)</f>
        <v>0.05</v>
      </c>
      <c r="E9" s="1">
        <v>1.1094999999999999</v>
      </c>
      <c r="F9" s="1" t="s">
        <v>15</v>
      </c>
      <c r="G9" s="1">
        <v>0.1037</v>
      </c>
      <c r="H9" s="1">
        <v>4.65E-2</v>
      </c>
      <c r="I9" s="1">
        <f t="shared" si="0"/>
        <v>0.05</v>
      </c>
      <c r="J9" s="1">
        <v>1.1093</v>
      </c>
      <c r="K9" s="1" t="s">
        <v>15</v>
      </c>
    </row>
    <row r="10" spans="1:11" s="1" customFormat="1" ht="16" x14ac:dyDescent="0.2">
      <c r="A10" s="1" t="s">
        <v>24</v>
      </c>
      <c r="B10" s="1">
        <v>-0.1004</v>
      </c>
      <c r="C10" s="1">
        <v>4.6399999999999997E-2</v>
      </c>
      <c r="D10" s="1">
        <f>ROUND(C10,2)</f>
        <v>0.05</v>
      </c>
      <c r="E10" s="1">
        <v>0.90449999999999997</v>
      </c>
      <c r="F10" s="1" t="s">
        <v>15</v>
      </c>
      <c r="G10" s="1">
        <v>-0.10009999999999999</v>
      </c>
      <c r="H10" s="1">
        <v>4.6399999999999997E-2</v>
      </c>
      <c r="I10" s="1">
        <f t="shared" si="0"/>
        <v>0.05</v>
      </c>
      <c r="J10" s="1">
        <v>0.90480000000000005</v>
      </c>
      <c r="K10" s="1" t="s">
        <v>15</v>
      </c>
    </row>
    <row r="11" spans="1:11" s="1" customFormat="1" ht="16" x14ac:dyDescent="0.2">
      <c r="A11" s="1" t="s">
        <v>25</v>
      </c>
      <c r="B11" s="1">
        <v>-9.3799999999999994E-2</v>
      </c>
      <c r="C11" s="1">
        <v>3.3099999999999997E-2</v>
      </c>
      <c r="D11" s="1">
        <f>ROUND(C11,2)</f>
        <v>0.03</v>
      </c>
      <c r="E11" s="1">
        <v>0.91049999999999998</v>
      </c>
      <c r="F11" s="1" t="s">
        <v>17</v>
      </c>
      <c r="G11" s="1">
        <v>-9.3600000000000003E-2</v>
      </c>
      <c r="H11" s="1">
        <v>3.3099999999999997E-2</v>
      </c>
      <c r="I11" s="1">
        <f t="shared" si="0"/>
        <v>0.03</v>
      </c>
      <c r="J11" s="1">
        <v>0.91069999999999995</v>
      </c>
      <c r="K11" s="1" t="s">
        <v>17</v>
      </c>
    </row>
    <row r="12" spans="1:11" s="1" customFormat="1" ht="16" x14ac:dyDescent="0.2">
      <c r="A12" s="1" t="s">
        <v>26</v>
      </c>
      <c r="B12" s="1">
        <v>9.1800000000000007E-2</v>
      </c>
      <c r="C12" s="1">
        <v>3.3099999999999997E-2</v>
      </c>
      <c r="D12" s="1">
        <f>ROUND(C12,2)</f>
        <v>0.03</v>
      </c>
      <c r="E12" s="1">
        <v>1.0961000000000001</v>
      </c>
      <c r="F12" s="1" t="s">
        <v>17</v>
      </c>
      <c r="G12" s="1">
        <v>9.11E-2</v>
      </c>
      <c r="H12" s="1">
        <v>3.3099999999999997E-2</v>
      </c>
      <c r="I12" s="1">
        <f t="shared" si="0"/>
        <v>0.03</v>
      </c>
      <c r="J12" s="1">
        <v>1.0953999999999999</v>
      </c>
      <c r="K12" s="1" t="s">
        <v>17</v>
      </c>
    </row>
    <row r="13" spans="1:11" s="1" customFormat="1" ht="16" x14ac:dyDescent="0.2">
      <c r="A13" s="1" t="s">
        <v>27</v>
      </c>
      <c r="B13" s="1">
        <v>-7.8700000000000006E-2</v>
      </c>
      <c r="C13" s="1">
        <v>9.9599999999999994E-2</v>
      </c>
      <c r="D13" s="1">
        <f>ROUND(C13,2)</f>
        <v>0.1</v>
      </c>
      <c r="E13" s="1">
        <v>0.92430000000000001</v>
      </c>
      <c r="F13" s="1" t="s">
        <v>22</v>
      </c>
      <c r="G13" s="1">
        <v>-7.8600000000000003E-2</v>
      </c>
      <c r="H13" s="1">
        <v>9.9599999999999994E-2</v>
      </c>
      <c r="I13" s="1">
        <f t="shared" si="0"/>
        <v>0.1</v>
      </c>
      <c r="J13" s="1">
        <v>0.9244</v>
      </c>
      <c r="K13" s="1" t="s">
        <v>22</v>
      </c>
    </row>
    <row r="14" spans="1:11" s="1" customFormat="1" ht="16" x14ac:dyDescent="0.2">
      <c r="A14" s="1" t="s">
        <v>28</v>
      </c>
      <c r="B14" s="1">
        <v>6.2600000000000003E-2</v>
      </c>
      <c r="C14" s="1">
        <v>4.65E-2</v>
      </c>
      <c r="D14" s="1">
        <f>ROUND(C14,2)</f>
        <v>0.05</v>
      </c>
      <c r="E14" s="1">
        <v>1.0646</v>
      </c>
      <c r="F14" s="1" t="s">
        <v>22</v>
      </c>
      <c r="G14" s="1">
        <v>6.1899999999999997E-2</v>
      </c>
      <c r="H14" s="1">
        <v>4.65E-2</v>
      </c>
      <c r="I14" s="1">
        <f t="shared" si="0"/>
        <v>0.05</v>
      </c>
      <c r="J14" s="1">
        <v>1.0638000000000001</v>
      </c>
      <c r="K14" s="1" t="s">
        <v>22</v>
      </c>
    </row>
    <row r="15" spans="1:11" s="1" customFormat="1" ht="16" x14ac:dyDescent="0.2">
      <c r="A15" s="1" t="s">
        <v>29</v>
      </c>
      <c r="B15" s="1">
        <v>4.8000000000000001E-2</v>
      </c>
      <c r="C15" s="1">
        <v>3.3700000000000001E-2</v>
      </c>
      <c r="D15" s="1">
        <f>ROUND(C15,2)</f>
        <v>0.03</v>
      </c>
      <c r="E15" s="1">
        <v>1.0491999999999999</v>
      </c>
      <c r="F15" s="1" t="s">
        <v>22</v>
      </c>
      <c r="G15" s="1">
        <v>4.8300000000000003E-2</v>
      </c>
      <c r="H15" s="1">
        <v>3.3700000000000001E-2</v>
      </c>
      <c r="I15" s="1">
        <f t="shared" si="0"/>
        <v>0.03</v>
      </c>
      <c r="J15" s="1">
        <v>1.0495000000000001</v>
      </c>
      <c r="K15" s="1" t="s">
        <v>22</v>
      </c>
    </row>
    <row r="16" spans="1:11" s="1" customFormat="1" ht="16" x14ac:dyDescent="0.2">
      <c r="A16" s="1" t="s">
        <v>30</v>
      </c>
      <c r="B16" s="1">
        <v>-4.6899999999999997E-2</v>
      </c>
      <c r="C16" s="1">
        <v>2.9600000000000001E-2</v>
      </c>
      <c r="D16" s="1">
        <f>ROUND(C16,2)</f>
        <v>0.03</v>
      </c>
      <c r="E16" s="1">
        <v>0.95420000000000005</v>
      </c>
      <c r="F16" s="1" t="s">
        <v>22</v>
      </c>
      <c r="G16" s="1">
        <v>-4.7E-2</v>
      </c>
      <c r="H16" s="1">
        <v>2.9600000000000001E-2</v>
      </c>
      <c r="I16" s="1">
        <f t="shared" si="0"/>
        <v>0.03</v>
      </c>
      <c r="J16" s="1">
        <v>0.95409999999999995</v>
      </c>
      <c r="K16" s="1" t="s">
        <v>22</v>
      </c>
    </row>
    <row r="17" spans="1:11" s="1" customFormat="1" ht="16" x14ac:dyDescent="0.2">
      <c r="A17" s="1" t="s">
        <v>31</v>
      </c>
      <c r="B17" s="1">
        <v>4.6399999999999997E-2</v>
      </c>
      <c r="C17" s="1">
        <v>9.8000000000000004E-2</v>
      </c>
      <c r="D17" s="1">
        <f>ROUND(C17,2)</f>
        <v>0.1</v>
      </c>
      <c r="E17" s="1">
        <v>1.0475000000000001</v>
      </c>
      <c r="F17" s="1" t="s">
        <v>22</v>
      </c>
      <c r="G17" s="1">
        <v>4.65E-2</v>
      </c>
      <c r="H17" s="1">
        <v>9.8000000000000004E-2</v>
      </c>
      <c r="I17" s="1">
        <f t="shared" si="0"/>
        <v>0.1</v>
      </c>
      <c r="J17" s="1">
        <v>1.0476000000000001</v>
      </c>
      <c r="K17" s="1" t="s">
        <v>22</v>
      </c>
    </row>
    <row r="18" spans="1:11" s="1" customFormat="1" ht="16" x14ac:dyDescent="0.2">
      <c r="A18" s="1" t="s">
        <v>32</v>
      </c>
      <c r="B18" s="1">
        <v>4.6199999999999998E-2</v>
      </c>
      <c r="C18" s="1">
        <v>4.3400000000000001E-2</v>
      </c>
      <c r="D18" s="1">
        <f>ROUND(C18,2)</f>
        <v>0.04</v>
      </c>
      <c r="E18" s="1">
        <v>1.0472999999999999</v>
      </c>
      <c r="F18" s="1" t="s">
        <v>22</v>
      </c>
      <c r="G18" s="1">
        <v>4.5999999999999999E-2</v>
      </c>
      <c r="H18" s="1">
        <v>4.3400000000000001E-2</v>
      </c>
      <c r="I18" s="1">
        <f t="shared" si="0"/>
        <v>0.04</v>
      </c>
      <c r="J18" s="1">
        <v>1.0470999999999999</v>
      </c>
      <c r="K18" s="1" t="s">
        <v>22</v>
      </c>
    </row>
    <row r="19" spans="1:11" s="1" customFormat="1" ht="16" x14ac:dyDescent="0.2">
      <c r="A19" s="1" t="s">
        <v>33</v>
      </c>
      <c r="B19" s="1">
        <v>-4.5199999999999997E-2</v>
      </c>
      <c r="C19" s="1">
        <v>3.6499999999999998E-2</v>
      </c>
      <c r="D19" s="1">
        <f>ROUND(C19,2)</f>
        <v>0.04</v>
      </c>
      <c r="E19" s="1">
        <v>0.95579999999999998</v>
      </c>
      <c r="F19" s="1" t="s">
        <v>22</v>
      </c>
      <c r="G19" s="1">
        <v>-4.58E-2</v>
      </c>
      <c r="H19" s="1">
        <v>3.6499999999999998E-2</v>
      </c>
      <c r="I19" s="1">
        <f t="shared" si="0"/>
        <v>0.04</v>
      </c>
      <c r="J19" s="1">
        <v>0.95520000000000005</v>
      </c>
      <c r="K19" s="1" t="s">
        <v>22</v>
      </c>
    </row>
    <row r="20" spans="1:11" s="1" customFormat="1" ht="16" x14ac:dyDescent="0.2">
      <c r="A20" s="1" t="s">
        <v>34</v>
      </c>
      <c r="B20" s="1">
        <v>-3.9300000000000002E-2</v>
      </c>
      <c r="C20" s="1">
        <v>1.9E-2</v>
      </c>
      <c r="D20" s="1">
        <f>ROUND(C20,2)</f>
        <v>0.02</v>
      </c>
      <c r="E20" s="1">
        <v>0.96150000000000002</v>
      </c>
      <c r="F20" s="1" t="s">
        <v>15</v>
      </c>
      <c r="G20" s="1">
        <v>-3.9300000000000002E-2</v>
      </c>
      <c r="H20" s="1">
        <v>1.9E-2</v>
      </c>
      <c r="I20" s="1">
        <f t="shared" si="0"/>
        <v>0.02</v>
      </c>
      <c r="J20" s="1">
        <v>0.96140000000000003</v>
      </c>
      <c r="K20" s="1" t="s">
        <v>15</v>
      </c>
    </row>
    <row r="21" spans="1:11" s="1" customFormat="1" ht="16" x14ac:dyDescent="0.2">
      <c r="A21" s="1" t="s">
        <v>35</v>
      </c>
      <c r="B21" s="1">
        <v>-3.8699999999999998E-2</v>
      </c>
      <c r="C21" s="1">
        <v>3.6499999999999998E-2</v>
      </c>
      <c r="D21" s="1">
        <f>ROUND(C21,2)</f>
        <v>0.04</v>
      </c>
      <c r="E21" s="1">
        <v>0.96199999999999997</v>
      </c>
      <c r="F21" s="1" t="s">
        <v>22</v>
      </c>
      <c r="G21" s="1">
        <v>-3.8699999999999998E-2</v>
      </c>
      <c r="H21" s="1">
        <v>3.6499999999999998E-2</v>
      </c>
      <c r="I21" s="1">
        <f t="shared" si="0"/>
        <v>0.04</v>
      </c>
      <c r="J21" s="1">
        <v>0.96209999999999996</v>
      </c>
      <c r="K21" s="1" t="s">
        <v>22</v>
      </c>
    </row>
    <row r="22" spans="1:11" s="1" customFormat="1" ht="16" x14ac:dyDescent="0.2">
      <c r="A22" s="1" t="s">
        <v>36</v>
      </c>
      <c r="B22" s="1">
        <v>3.5099999999999999E-2</v>
      </c>
      <c r="C22" s="1">
        <v>3.56E-2</v>
      </c>
      <c r="D22" s="1">
        <f>ROUND(C22,2)</f>
        <v>0.04</v>
      </c>
      <c r="E22" s="1">
        <v>1.0357000000000001</v>
      </c>
      <c r="F22" s="1" t="s">
        <v>22</v>
      </c>
      <c r="G22" s="1">
        <v>3.5400000000000001E-2</v>
      </c>
      <c r="H22" s="1">
        <v>3.56E-2</v>
      </c>
      <c r="I22" s="1">
        <f t="shared" si="0"/>
        <v>0.04</v>
      </c>
      <c r="J22" s="1">
        <v>1.0361</v>
      </c>
      <c r="K22" s="1" t="s">
        <v>22</v>
      </c>
    </row>
    <row r="23" spans="1:11" s="1" customFormat="1" ht="16" x14ac:dyDescent="0.2">
      <c r="A23" s="1" t="s">
        <v>37</v>
      </c>
      <c r="B23" s="1">
        <v>-2.64E-2</v>
      </c>
      <c r="C23" s="1">
        <v>4.3900000000000002E-2</v>
      </c>
      <c r="D23" s="1">
        <f>ROUND(C23,2)</f>
        <v>0.04</v>
      </c>
      <c r="E23" s="1">
        <v>0.97389999999999999</v>
      </c>
      <c r="F23" s="1" t="s">
        <v>22</v>
      </c>
      <c r="G23" s="1">
        <v>-2.63E-2</v>
      </c>
      <c r="H23" s="1">
        <v>4.3900000000000002E-2</v>
      </c>
      <c r="I23" s="1">
        <f t="shared" si="0"/>
        <v>0.04</v>
      </c>
      <c r="J23" s="1">
        <v>0.97399999999999998</v>
      </c>
      <c r="K23" s="1" t="s">
        <v>22</v>
      </c>
    </row>
    <row r="24" spans="1:11" s="1" customFormat="1" ht="16" x14ac:dyDescent="0.2">
      <c r="A24" s="1" t="s">
        <v>38</v>
      </c>
      <c r="B24" s="1">
        <v>-2.2100000000000002E-2</v>
      </c>
      <c r="C24" s="1">
        <v>3.4000000000000002E-2</v>
      </c>
      <c r="D24" s="1">
        <f>ROUND(C24,2)</f>
        <v>0.03</v>
      </c>
      <c r="E24" s="1">
        <v>0.97819999999999996</v>
      </c>
      <c r="F24" s="1" t="s">
        <v>22</v>
      </c>
      <c r="G24" s="1">
        <v>-2.1499999999999998E-2</v>
      </c>
      <c r="H24" s="1">
        <v>3.4000000000000002E-2</v>
      </c>
      <c r="I24" s="1">
        <f t="shared" si="0"/>
        <v>0.03</v>
      </c>
      <c r="J24" s="1">
        <v>0.97870000000000001</v>
      </c>
      <c r="K24" s="1" t="s">
        <v>22</v>
      </c>
    </row>
    <row r="25" spans="1:11" s="1" customFormat="1" ht="16" x14ac:dyDescent="0.2">
      <c r="A25" s="1" t="s">
        <v>39</v>
      </c>
      <c r="B25" s="1">
        <v>-1.5699999999999999E-2</v>
      </c>
      <c r="C25" s="1">
        <v>4.0500000000000001E-2</v>
      </c>
      <c r="D25" s="1">
        <f>ROUND(C25,2)</f>
        <v>0.04</v>
      </c>
      <c r="E25" s="1">
        <v>0.98440000000000005</v>
      </c>
      <c r="F25" s="1" t="s">
        <v>22</v>
      </c>
      <c r="G25" s="1">
        <v>-1.5800000000000002E-2</v>
      </c>
      <c r="H25" s="1">
        <v>4.0500000000000001E-2</v>
      </c>
      <c r="I25" s="1">
        <f t="shared" si="0"/>
        <v>0.04</v>
      </c>
      <c r="J25" s="1">
        <v>0.98429999999999995</v>
      </c>
      <c r="K25" s="1" t="s">
        <v>22</v>
      </c>
    </row>
    <row r="26" spans="1:11" x14ac:dyDescent="0.2">
      <c r="A26" t="s">
        <v>40</v>
      </c>
      <c r="B26">
        <v>1.14E-2</v>
      </c>
      <c r="C26">
        <v>4.02E-2</v>
      </c>
      <c r="D26">
        <f>ROUND(C26,2)</f>
        <v>0.04</v>
      </c>
      <c r="E26">
        <v>1.0114000000000001</v>
      </c>
      <c r="F26" t="s">
        <v>22</v>
      </c>
      <c r="G26">
        <v>1.1299999999999999E-2</v>
      </c>
      <c r="H26">
        <v>4.02E-2</v>
      </c>
      <c r="I26">
        <f t="shared" si="0"/>
        <v>0.04</v>
      </c>
      <c r="J26">
        <v>1.0114000000000001</v>
      </c>
      <c r="K26" t="s">
        <v>22</v>
      </c>
    </row>
    <row r="27" spans="1:11" s="1" customFormat="1" ht="16" x14ac:dyDescent="0.2">
      <c r="A27" s="1" t="s">
        <v>41</v>
      </c>
      <c r="B27" s="1">
        <v>1.0699999999999999E-2</v>
      </c>
      <c r="C27" s="1">
        <v>2.6800000000000001E-2</v>
      </c>
      <c r="D27" s="1">
        <f>ROUND(C27,2)</f>
        <v>0.03</v>
      </c>
      <c r="E27" s="1">
        <v>1.0107999999999999</v>
      </c>
      <c r="F27" s="1" t="s">
        <v>22</v>
      </c>
      <c r="G27" s="1">
        <v>1.11E-2</v>
      </c>
      <c r="H27" s="1">
        <v>2.6800000000000001E-2</v>
      </c>
      <c r="I27" s="1">
        <f t="shared" si="0"/>
        <v>0.03</v>
      </c>
      <c r="J27" s="1">
        <v>1.0112000000000001</v>
      </c>
      <c r="K27" s="1" t="s">
        <v>22</v>
      </c>
    </row>
    <row r="28" spans="1:11" s="1" customFormat="1" ht="16" x14ac:dyDescent="0.2">
      <c r="A28" s="1" t="s">
        <v>42</v>
      </c>
      <c r="B28" s="1">
        <v>6.4999999999999997E-3</v>
      </c>
      <c r="C28" s="1">
        <v>2.8199999999999999E-2</v>
      </c>
      <c r="D28" s="1">
        <f>ROUND(C28,2)</f>
        <v>0.03</v>
      </c>
      <c r="E28" s="1">
        <v>1.0065999999999999</v>
      </c>
      <c r="F28" s="1" t="s">
        <v>22</v>
      </c>
      <c r="G28" s="1">
        <v>6.7000000000000002E-3</v>
      </c>
      <c r="H28" s="1">
        <v>2.8199999999999999E-2</v>
      </c>
      <c r="I28" s="1">
        <f t="shared" si="0"/>
        <v>0.03</v>
      </c>
      <c r="J28" s="1">
        <v>1.0067999999999999</v>
      </c>
      <c r="K28" s="1" t="s">
        <v>22</v>
      </c>
    </row>
    <row r="29" spans="1:11" s="1" customFormat="1" ht="16" x14ac:dyDescent="0.2">
      <c r="A29" s="1" t="s">
        <v>43</v>
      </c>
      <c r="B29" s="1">
        <v>-5.0000000000000001E-3</v>
      </c>
      <c r="C29" s="1">
        <v>2.9899999999999999E-2</v>
      </c>
      <c r="D29" s="1">
        <f>ROUND(C29,2)</f>
        <v>0.03</v>
      </c>
      <c r="E29" s="1">
        <v>0.995</v>
      </c>
      <c r="F29" s="1" t="s">
        <v>22</v>
      </c>
      <c r="G29" s="1">
        <v>-4.7999999999999996E-3</v>
      </c>
      <c r="H29" s="1">
        <v>2.9899999999999999E-2</v>
      </c>
      <c r="I29" s="1">
        <f t="shared" si="0"/>
        <v>0.03</v>
      </c>
      <c r="J29" s="1">
        <v>0.99519999999999997</v>
      </c>
      <c r="K29" s="1" t="s">
        <v>22</v>
      </c>
    </row>
    <row r="30" spans="1:11" s="1" customFormat="1" ht="16" x14ac:dyDescent="0.2">
      <c r="A30" s="1" t="s">
        <v>44</v>
      </c>
      <c r="B30" s="1">
        <v>-1.1000000000000001E-3</v>
      </c>
      <c r="C30" s="1">
        <v>4.7300000000000002E-2</v>
      </c>
      <c r="D30" s="1">
        <f>ROUND(C30,2)</f>
        <v>0.05</v>
      </c>
      <c r="E30" s="1">
        <v>0.99890000000000001</v>
      </c>
      <c r="F30" s="1" t="s">
        <v>22</v>
      </c>
      <c r="G30" s="1">
        <v>-1.5E-3</v>
      </c>
      <c r="H30" s="1">
        <v>4.7300000000000002E-2</v>
      </c>
      <c r="I30" s="1">
        <f t="shared" si="0"/>
        <v>0.05</v>
      </c>
      <c r="J30" s="1">
        <v>0.99850000000000005</v>
      </c>
      <c r="K30" s="1" t="s">
        <v>22</v>
      </c>
    </row>
    <row r="31" spans="1:11" s="1" customFormat="1" ht="16" x14ac:dyDescent="0.2">
      <c r="A31" s="1" t="s">
        <v>45</v>
      </c>
      <c r="B31" s="1">
        <v>2.0000000000000001E-4</v>
      </c>
      <c r="C31" s="1">
        <v>0</v>
      </c>
      <c r="D31" s="1">
        <f>ROUND(C31,2)</f>
        <v>0</v>
      </c>
      <c r="E31" s="1">
        <v>1.0002</v>
      </c>
      <c r="F31" s="1" t="s">
        <v>10</v>
      </c>
      <c r="G31" s="1">
        <v>2.0000000000000001E-4</v>
      </c>
      <c r="H31" s="1">
        <v>0</v>
      </c>
      <c r="I31" s="1">
        <f t="shared" si="0"/>
        <v>0</v>
      </c>
      <c r="J31" s="1">
        <v>1.0002</v>
      </c>
      <c r="K31" s="1" t="s">
        <v>10</v>
      </c>
    </row>
    <row r="32" spans="1:11" s="1" customFormat="1" ht="16" x14ac:dyDescent="0.2">
      <c r="A32" s="1" t="s">
        <v>46</v>
      </c>
      <c r="B32" s="1">
        <v>0</v>
      </c>
      <c r="C32" s="1">
        <v>6.4500000000000002E-2</v>
      </c>
      <c r="D32" s="1">
        <f>ROUND(C32,2)</f>
        <v>0.06</v>
      </c>
      <c r="E32" s="1">
        <v>1</v>
      </c>
      <c r="F32" s="1" t="s">
        <v>22</v>
      </c>
      <c r="G32" s="1">
        <v>6.9999999999999999E-4</v>
      </c>
      <c r="H32" s="1">
        <v>6.4500000000000002E-2</v>
      </c>
      <c r="I32" s="1">
        <f t="shared" si="0"/>
        <v>0.06</v>
      </c>
      <c r="J32" s="1">
        <v>1.0006999999999999</v>
      </c>
      <c r="K32" s="1" t="s">
        <v>22</v>
      </c>
    </row>
    <row r="33" spans="1:11" s="1" customFormat="1" ht="16" x14ac:dyDescent="0.2">
      <c r="A33" s="1" t="s">
        <v>47</v>
      </c>
      <c r="G33" s="1">
        <v>5.0000000000000001E-4</v>
      </c>
      <c r="H33" s="1">
        <v>1.4E-3</v>
      </c>
      <c r="I33" s="1">
        <f t="shared" si="0"/>
        <v>0</v>
      </c>
      <c r="J33" s="1">
        <v>1.0004999999999999</v>
      </c>
      <c r="K33" s="1" t="s">
        <v>22</v>
      </c>
    </row>
    <row r="34" spans="1:11" s="1" customFormat="1" ht="16" x14ac:dyDescent="0.2">
      <c r="A34" s="1" t="s">
        <v>48</v>
      </c>
      <c r="G34" s="1">
        <v>-4.7999999999999996E-3</v>
      </c>
      <c r="H34" s="1">
        <v>3.8E-3</v>
      </c>
      <c r="I34" s="1">
        <f t="shared" si="0"/>
        <v>0</v>
      </c>
      <c r="J34" s="1">
        <v>0.99519999999999997</v>
      </c>
      <c r="K34" s="1" t="s">
        <v>22</v>
      </c>
    </row>
    <row r="35" spans="1:11" s="1" customFormat="1" ht="16" x14ac:dyDescent="0.2">
      <c r="A35" s="1" t="s">
        <v>49</v>
      </c>
      <c r="G35" s="1">
        <v>4.4000000000000003E-3</v>
      </c>
      <c r="H35" s="1">
        <v>4.1000000000000003E-3</v>
      </c>
      <c r="I35" s="1">
        <f t="shared" si="0"/>
        <v>0</v>
      </c>
      <c r="J35" s="1">
        <v>1.0044</v>
      </c>
      <c r="K35" s="1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131" workbookViewId="0">
      <selection activeCell="D8" sqref="D8"/>
    </sheetView>
  </sheetViews>
  <sheetFormatPr baseColWidth="10" defaultRowHeight="15" x14ac:dyDescent="0.2"/>
  <sheetData>
    <row r="1" spans="1:10" x14ac:dyDescent="0.2">
      <c r="A1" t="s">
        <v>0</v>
      </c>
      <c r="B1" t="s">
        <v>50</v>
      </c>
      <c r="C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">
      <c r="A2" t="s">
        <v>9</v>
      </c>
      <c r="B2">
        <v>-3.3416000000000001</v>
      </c>
      <c r="C2">
        <v>0.11210000000000001</v>
      </c>
      <c r="D2">
        <f>ROUND(C2,2)</f>
        <v>0.11</v>
      </c>
      <c r="E2">
        <v>-29.803000000000001</v>
      </c>
      <c r="F2">
        <v>0</v>
      </c>
      <c r="G2" t="s">
        <v>58</v>
      </c>
      <c r="H2">
        <v>3.5400000000000001E-2</v>
      </c>
      <c r="I2" t="s">
        <v>10</v>
      </c>
      <c r="J2" t="s">
        <v>11</v>
      </c>
    </row>
    <row r="3" spans="1:10" x14ac:dyDescent="0.2">
      <c r="A3" t="s">
        <v>12</v>
      </c>
      <c r="B3">
        <v>1.1281000000000001</v>
      </c>
      <c r="C3">
        <v>1.5900000000000001E-2</v>
      </c>
      <c r="D3">
        <f t="shared" ref="D3:D32" si="0">ROUND(C3,2)</f>
        <v>0.02</v>
      </c>
      <c r="E3">
        <v>70.75</v>
      </c>
      <c r="F3">
        <v>0</v>
      </c>
      <c r="G3" t="s">
        <v>58</v>
      </c>
      <c r="H3">
        <v>3.0897000000000001</v>
      </c>
      <c r="I3" t="s">
        <v>10</v>
      </c>
      <c r="J3" t="s">
        <v>13</v>
      </c>
    </row>
    <row r="4" spans="1:10" x14ac:dyDescent="0.2">
      <c r="A4" t="s">
        <v>14</v>
      </c>
      <c r="B4">
        <v>0.23080000000000001</v>
      </c>
      <c r="C4">
        <v>9.3799999999999994E-2</v>
      </c>
      <c r="D4">
        <f t="shared" si="0"/>
        <v>0.09</v>
      </c>
      <c r="E4">
        <v>2.4609999999999999</v>
      </c>
      <c r="F4">
        <v>1.3899999999999999E-2</v>
      </c>
      <c r="G4" t="s">
        <v>58</v>
      </c>
      <c r="H4">
        <v>1.2597</v>
      </c>
      <c r="I4" t="s">
        <v>15</v>
      </c>
      <c r="J4" t="s">
        <v>13</v>
      </c>
    </row>
    <row r="5" spans="1:10" x14ac:dyDescent="0.2">
      <c r="A5" t="s">
        <v>16</v>
      </c>
      <c r="B5">
        <v>0.15079999999999999</v>
      </c>
      <c r="C5">
        <v>4.87E-2</v>
      </c>
      <c r="D5">
        <f t="shared" si="0"/>
        <v>0.05</v>
      </c>
      <c r="E5">
        <v>3.097</v>
      </c>
      <c r="F5">
        <v>2E-3</v>
      </c>
      <c r="G5" t="s">
        <v>58</v>
      </c>
      <c r="H5">
        <v>1.1627000000000001</v>
      </c>
      <c r="I5" t="s">
        <v>17</v>
      </c>
      <c r="J5" t="s">
        <v>13</v>
      </c>
    </row>
    <row r="6" spans="1:10" x14ac:dyDescent="0.2">
      <c r="A6" t="s">
        <v>18</v>
      </c>
      <c r="B6">
        <v>-0.1171</v>
      </c>
      <c r="C6">
        <v>3.3599999999999998E-2</v>
      </c>
      <c r="D6">
        <f t="shared" si="0"/>
        <v>0.03</v>
      </c>
      <c r="E6">
        <v>-3.48</v>
      </c>
      <c r="F6">
        <v>5.0000000000000001E-4</v>
      </c>
      <c r="G6" t="s">
        <v>58</v>
      </c>
      <c r="H6">
        <v>0.88949999999999996</v>
      </c>
      <c r="I6" t="s">
        <v>10</v>
      </c>
      <c r="J6" t="s">
        <v>19</v>
      </c>
    </row>
    <row r="7" spans="1:10" x14ac:dyDescent="0.2">
      <c r="A7" t="s">
        <v>20</v>
      </c>
      <c r="B7">
        <v>-0.1109</v>
      </c>
      <c r="C7">
        <v>3.2399999999999998E-2</v>
      </c>
      <c r="D7">
        <f t="shared" si="0"/>
        <v>0.03</v>
      </c>
      <c r="E7">
        <v>-3.419</v>
      </c>
      <c r="F7">
        <v>5.9999999999999995E-4</v>
      </c>
      <c r="G7" t="s">
        <v>58</v>
      </c>
      <c r="H7">
        <v>0.89500000000000002</v>
      </c>
      <c r="I7" t="s">
        <v>10</v>
      </c>
      <c r="J7" t="s">
        <v>19</v>
      </c>
    </row>
    <row r="8" spans="1:10" x14ac:dyDescent="0.2">
      <c r="A8" t="s">
        <v>21</v>
      </c>
      <c r="B8">
        <v>-0.1061</v>
      </c>
      <c r="C8">
        <v>6.8500000000000005E-2</v>
      </c>
      <c r="D8">
        <f t="shared" si="0"/>
        <v>7.0000000000000007E-2</v>
      </c>
      <c r="E8">
        <v>-1.5489999999999999</v>
      </c>
      <c r="F8">
        <v>0.1215</v>
      </c>
      <c r="G8" t="s">
        <v>58</v>
      </c>
      <c r="H8">
        <v>0.89939999999999998</v>
      </c>
      <c r="I8" t="s">
        <v>22</v>
      </c>
      <c r="J8" t="s">
        <v>19</v>
      </c>
    </row>
    <row r="9" spans="1:10" x14ac:dyDescent="0.2">
      <c r="A9" t="s">
        <v>23</v>
      </c>
      <c r="B9">
        <v>0.10390000000000001</v>
      </c>
      <c r="C9">
        <v>4.65E-2</v>
      </c>
      <c r="D9">
        <f t="shared" si="0"/>
        <v>0.05</v>
      </c>
      <c r="E9">
        <v>2.234</v>
      </c>
      <c r="F9">
        <v>2.5499999999999998E-2</v>
      </c>
      <c r="G9" t="s">
        <v>58</v>
      </c>
      <c r="H9">
        <v>1.1094999999999999</v>
      </c>
      <c r="I9" t="s">
        <v>15</v>
      </c>
      <c r="J9" t="s">
        <v>13</v>
      </c>
    </row>
    <row r="10" spans="1:10" x14ac:dyDescent="0.2">
      <c r="A10" t="s">
        <v>24</v>
      </c>
      <c r="B10">
        <v>-0.1004</v>
      </c>
      <c r="C10">
        <v>4.6399999999999997E-2</v>
      </c>
      <c r="D10">
        <f t="shared" si="0"/>
        <v>0.05</v>
      </c>
      <c r="E10">
        <v>-2.1659999999999999</v>
      </c>
      <c r="F10">
        <v>3.0300000000000001E-2</v>
      </c>
      <c r="G10" t="s">
        <v>58</v>
      </c>
      <c r="H10">
        <v>0.90449999999999997</v>
      </c>
      <c r="I10" t="s">
        <v>15</v>
      </c>
      <c r="J10" t="s">
        <v>19</v>
      </c>
    </row>
    <row r="11" spans="1:10" x14ac:dyDescent="0.2">
      <c r="A11" t="s">
        <v>25</v>
      </c>
      <c r="B11">
        <v>-9.3799999999999994E-2</v>
      </c>
      <c r="C11">
        <v>3.3099999999999997E-2</v>
      </c>
      <c r="D11">
        <f t="shared" si="0"/>
        <v>0.03</v>
      </c>
      <c r="E11">
        <v>-2.8370000000000002</v>
      </c>
      <c r="F11">
        <v>4.5999999999999999E-3</v>
      </c>
      <c r="G11" t="s">
        <v>58</v>
      </c>
      <c r="H11">
        <v>0.91049999999999998</v>
      </c>
      <c r="I11" t="s">
        <v>17</v>
      </c>
      <c r="J11" t="s">
        <v>19</v>
      </c>
    </row>
    <row r="12" spans="1:10" x14ac:dyDescent="0.2">
      <c r="A12" t="s">
        <v>26</v>
      </c>
      <c r="B12">
        <v>9.1800000000000007E-2</v>
      </c>
      <c r="C12">
        <v>3.3099999999999997E-2</v>
      </c>
      <c r="D12">
        <f t="shared" si="0"/>
        <v>0.03</v>
      </c>
      <c r="E12">
        <v>2.7709999999999999</v>
      </c>
      <c r="F12">
        <v>5.5999999999999999E-3</v>
      </c>
      <c r="G12" t="s">
        <v>58</v>
      </c>
      <c r="H12">
        <v>1.0961000000000001</v>
      </c>
      <c r="I12" t="s">
        <v>17</v>
      </c>
      <c r="J12" t="s">
        <v>13</v>
      </c>
    </row>
    <row r="13" spans="1:10" x14ac:dyDescent="0.2">
      <c r="A13" t="s">
        <v>27</v>
      </c>
      <c r="B13">
        <v>-7.8700000000000006E-2</v>
      </c>
      <c r="C13">
        <v>9.9599999999999994E-2</v>
      </c>
      <c r="D13">
        <f t="shared" si="0"/>
        <v>0.1</v>
      </c>
      <c r="E13">
        <v>-0.79</v>
      </c>
      <c r="F13">
        <v>0.42959999999999998</v>
      </c>
      <c r="G13" t="s">
        <v>58</v>
      </c>
      <c r="H13">
        <v>0.92430000000000001</v>
      </c>
      <c r="I13" t="s">
        <v>22</v>
      </c>
      <c r="J13" t="s">
        <v>19</v>
      </c>
    </row>
    <row r="14" spans="1:10" x14ac:dyDescent="0.2">
      <c r="A14" t="s">
        <v>28</v>
      </c>
      <c r="B14">
        <v>6.2600000000000003E-2</v>
      </c>
      <c r="C14">
        <v>4.65E-2</v>
      </c>
      <c r="D14">
        <f t="shared" si="0"/>
        <v>0.05</v>
      </c>
      <c r="E14">
        <v>1.3460000000000001</v>
      </c>
      <c r="F14">
        <v>0.1782</v>
      </c>
      <c r="G14" t="s">
        <v>58</v>
      </c>
      <c r="H14">
        <v>1.0646</v>
      </c>
      <c r="I14" t="s">
        <v>22</v>
      </c>
      <c r="J14" t="s">
        <v>13</v>
      </c>
    </row>
    <row r="15" spans="1:10" x14ac:dyDescent="0.2">
      <c r="A15" t="s">
        <v>29</v>
      </c>
      <c r="B15">
        <v>4.8000000000000001E-2</v>
      </c>
      <c r="C15">
        <v>3.3700000000000001E-2</v>
      </c>
      <c r="D15">
        <f t="shared" si="0"/>
        <v>0.03</v>
      </c>
      <c r="E15">
        <v>1.425</v>
      </c>
      <c r="F15">
        <v>0.15429999999999999</v>
      </c>
      <c r="G15" t="s">
        <v>58</v>
      </c>
      <c r="H15">
        <v>1.0491999999999999</v>
      </c>
      <c r="I15" t="s">
        <v>22</v>
      </c>
      <c r="J15" t="s">
        <v>13</v>
      </c>
    </row>
    <row r="16" spans="1:10" x14ac:dyDescent="0.2">
      <c r="A16" t="s">
        <v>30</v>
      </c>
      <c r="B16">
        <v>-4.6899999999999997E-2</v>
      </c>
      <c r="C16">
        <v>2.9600000000000001E-2</v>
      </c>
      <c r="D16">
        <f t="shared" si="0"/>
        <v>0.03</v>
      </c>
      <c r="E16">
        <v>-1.5840000000000001</v>
      </c>
      <c r="F16">
        <v>0.1132</v>
      </c>
      <c r="G16" t="s">
        <v>58</v>
      </c>
      <c r="H16">
        <v>0.95420000000000005</v>
      </c>
      <c r="I16" t="s">
        <v>22</v>
      </c>
      <c r="J16" t="s">
        <v>19</v>
      </c>
    </row>
    <row r="17" spans="1:10" x14ac:dyDescent="0.2">
      <c r="A17" t="s">
        <v>31</v>
      </c>
      <c r="B17">
        <v>4.6399999999999997E-2</v>
      </c>
      <c r="C17">
        <v>9.8000000000000004E-2</v>
      </c>
      <c r="D17">
        <f t="shared" si="0"/>
        <v>0.1</v>
      </c>
      <c r="E17">
        <v>0.47399999999999998</v>
      </c>
      <c r="F17">
        <v>0.63549999999999995</v>
      </c>
      <c r="G17" t="s">
        <v>58</v>
      </c>
      <c r="H17">
        <v>1.0475000000000001</v>
      </c>
      <c r="I17" t="s">
        <v>22</v>
      </c>
      <c r="J17" t="s">
        <v>13</v>
      </c>
    </row>
    <row r="18" spans="1:10" x14ac:dyDescent="0.2">
      <c r="A18" t="s">
        <v>32</v>
      </c>
      <c r="B18">
        <v>4.6199999999999998E-2</v>
      </c>
      <c r="C18">
        <v>4.3400000000000001E-2</v>
      </c>
      <c r="D18">
        <f t="shared" si="0"/>
        <v>0.04</v>
      </c>
      <c r="E18">
        <v>1.0640000000000001</v>
      </c>
      <c r="F18">
        <v>0.28710000000000002</v>
      </c>
      <c r="G18" t="s">
        <v>58</v>
      </c>
      <c r="H18">
        <v>1.0472999999999999</v>
      </c>
      <c r="I18" t="s">
        <v>22</v>
      </c>
      <c r="J18" t="s">
        <v>13</v>
      </c>
    </row>
    <row r="19" spans="1:10" x14ac:dyDescent="0.2">
      <c r="A19" t="s">
        <v>33</v>
      </c>
      <c r="B19">
        <v>-4.5199999999999997E-2</v>
      </c>
      <c r="C19">
        <v>3.6499999999999998E-2</v>
      </c>
      <c r="D19">
        <f t="shared" si="0"/>
        <v>0.04</v>
      </c>
      <c r="E19">
        <v>-1.2410000000000001</v>
      </c>
      <c r="F19">
        <v>0.2147</v>
      </c>
      <c r="G19" t="s">
        <v>58</v>
      </c>
      <c r="H19">
        <v>0.95579999999999998</v>
      </c>
      <c r="I19" t="s">
        <v>22</v>
      </c>
      <c r="J19" t="s">
        <v>19</v>
      </c>
    </row>
    <row r="20" spans="1:10" x14ac:dyDescent="0.2">
      <c r="A20" t="s">
        <v>34</v>
      </c>
      <c r="B20">
        <v>-3.9300000000000002E-2</v>
      </c>
      <c r="C20">
        <v>1.9E-2</v>
      </c>
      <c r="D20">
        <f t="shared" si="0"/>
        <v>0.02</v>
      </c>
      <c r="E20">
        <v>-2.0659999999999998</v>
      </c>
      <c r="F20">
        <v>3.8800000000000001E-2</v>
      </c>
      <c r="G20" t="s">
        <v>58</v>
      </c>
      <c r="H20">
        <v>0.96150000000000002</v>
      </c>
      <c r="I20" t="s">
        <v>15</v>
      </c>
      <c r="J20" t="s">
        <v>19</v>
      </c>
    </row>
    <row r="21" spans="1:10" x14ac:dyDescent="0.2">
      <c r="A21" t="s">
        <v>35</v>
      </c>
      <c r="B21">
        <v>-3.8699999999999998E-2</v>
      </c>
      <c r="C21">
        <v>3.6499999999999998E-2</v>
      </c>
      <c r="D21">
        <f t="shared" si="0"/>
        <v>0.04</v>
      </c>
      <c r="E21">
        <v>-1.0609999999999999</v>
      </c>
      <c r="F21">
        <v>0.28870000000000001</v>
      </c>
      <c r="G21" t="s">
        <v>58</v>
      </c>
      <c r="H21">
        <v>0.96199999999999997</v>
      </c>
      <c r="I21" t="s">
        <v>22</v>
      </c>
      <c r="J21" t="s">
        <v>19</v>
      </c>
    </row>
    <row r="22" spans="1:10" x14ac:dyDescent="0.2">
      <c r="A22" t="s">
        <v>36</v>
      </c>
      <c r="B22">
        <v>3.5099999999999999E-2</v>
      </c>
      <c r="C22">
        <v>3.56E-2</v>
      </c>
      <c r="D22">
        <f t="shared" si="0"/>
        <v>0.04</v>
      </c>
      <c r="E22">
        <v>0.98799999999999999</v>
      </c>
      <c r="F22">
        <v>0.32340000000000002</v>
      </c>
      <c r="G22" t="s">
        <v>58</v>
      </c>
      <c r="H22">
        <v>1.0357000000000001</v>
      </c>
      <c r="I22" t="s">
        <v>22</v>
      </c>
      <c r="J22" t="s">
        <v>13</v>
      </c>
    </row>
    <row r="23" spans="1:10" x14ac:dyDescent="0.2">
      <c r="A23" t="s">
        <v>37</v>
      </c>
      <c r="B23">
        <v>-2.64E-2</v>
      </c>
      <c r="C23">
        <v>4.3900000000000002E-2</v>
      </c>
      <c r="D23">
        <f t="shared" si="0"/>
        <v>0.04</v>
      </c>
      <c r="E23">
        <v>-0.60099999999999998</v>
      </c>
      <c r="F23">
        <v>0.54759999999999998</v>
      </c>
      <c r="G23" t="s">
        <v>58</v>
      </c>
      <c r="H23">
        <v>0.97389999999999999</v>
      </c>
      <c r="I23" t="s">
        <v>22</v>
      </c>
      <c r="J23" t="s">
        <v>19</v>
      </c>
    </row>
    <row r="24" spans="1:10" x14ac:dyDescent="0.2">
      <c r="A24" t="s">
        <v>38</v>
      </c>
      <c r="B24">
        <v>-2.2100000000000002E-2</v>
      </c>
      <c r="C24">
        <v>3.4000000000000002E-2</v>
      </c>
      <c r="D24">
        <f t="shared" si="0"/>
        <v>0.03</v>
      </c>
      <c r="E24">
        <v>-0.64800000000000002</v>
      </c>
      <c r="F24">
        <v>0.51680000000000004</v>
      </c>
      <c r="G24" t="s">
        <v>58</v>
      </c>
      <c r="H24">
        <v>0.97819999999999996</v>
      </c>
      <c r="I24" t="s">
        <v>22</v>
      </c>
      <c r="J24" t="s">
        <v>19</v>
      </c>
    </row>
    <row r="25" spans="1:10" x14ac:dyDescent="0.2">
      <c r="A25" t="s">
        <v>39</v>
      </c>
      <c r="B25">
        <v>-1.5699999999999999E-2</v>
      </c>
      <c r="C25">
        <v>4.0500000000000001E-2</v>
      </c>
      <c r="D25">
        <f t="shared" si="0"/>
        <v>0.04</v>
      </c>
      <c r="E25">
        <v>-0.38900000000000001</v>
      </c>
      <c r="F25">
        <v>0.6976</v>
      </c>
      <c r="G25" t="s">
        <v>58</v>
      </c>
      <c r="H25">
        <v>0.98440000000000005</v>
      </c>
      <c r="I25" t="s">
        <v>22</v>
      </c>
      <c r="J25" t="s">
        <v>19</v>
      </c>
    </row>
    <row r="26" spans="1:10" x14ac:dyDescent="0.2">
      <c r="A26" t="s">
        <v>40</v>
      </c>
      <c r="B26">
        <v>1.14E-2</v>
      </c>
      <c r="C26">
        <v>4.02E-2</v>
      </c>
      <c r="D26">
        <f t="shared" si="0"/>
        <v>0.04</v>
      </c>
      <c r="E26">
        <v>0.28199999999999997</v>
      </c>
      <c r="F26">
        <v>0.77769999999999995</v>
      </c>
      <c r="G26" t="s">
        <v>58</v>
      </c>
      <c r="H26">
        <v>1.0114000000000001</v>
      </c>
      <c r="I26" t="s">
        <v>22</v>
      </c>
      <c r="J26" t="s">
        <v>13</v>
      </c>
    </row>
    <row r="27" spans="1:10" x14ac:dyDescent="0.2">
      <c r="A27" t="s">
        <v>41</v>
      </c>
      <c r="B27">
        <v>1.0699999999999999E-2</v>
      </c>
      <c r="C27">
        <v>2.6800000000000001E-2</v>
      </c>
      <c r="D27">
        <f t="shared" si="0"/>
        <v>0.03</v>
      </c>
      <c r="E27">
        <v>0.4</v>
      </c>
      <c r="F27">
        <v>0.68899999999999995</v>
      </c>
      <c r="G27" t="s">
        <v>58</v>
      </c>
      <c r="H27">
        <v>1.0107999999999999</v>
      </c>
      <c r="I27" t="s">
        <v>22</v>
      </c>
      <c r="J27" t="s">
        <v>13</v>
      </c>
    </row>
    <row r="28" spans="1:10" x14ac:dyDescent="0.2">
      <c r="A28" t="s">
        <v>42</v>
      </c>
      <c r="B28">
        <v>6.4999999999999997E-3</v>
      </c>
      <c r="C28">
        <v>2.8199999999999999E-2</v>
      </c>
      <c r="D28">
        <f t="shared" si="0"/>
        <v>0.03</v>
      </c>
      <c r="E28">
        <v>0.23200000000000001</v>
      </c>
      <c r="F28">
        <v>0.81640000000000001</v>
      </c>
      <c r="G28" t="s">
        <v>58</v>
      </c>
      <c r="H28">
        <v>1.0065999999999999</v>
      </c>
      <c r="I28" t="s">
        <v>22</v>
      </c>
      <c r="J28" t="s">
        <v>13</v>
      </c>
    </row>
    <row r="29" spans="1:10" x14ac:dyDescent="0.2">
      <c r="A29" t="s">
        <v>43</v>
      </c>
      <c r="B29">
        <v>-5.0000000000000001E-3</v>
      </c>
      <c r="C29">
        <v>2.9899999999999999E-2</v>
      </c>
      <c r="D29">
        <f t="shared" si="0"/>
        <v>0.03</v>
      </c>
      <c r="E29">
        <v>-0.16600000000000001</v>
      </c>
      <c r="F29">
        <v>0.8679</v>
      </c>
      <c r="G29" t="s">
        <v>58</v>
      </c>
      <c r="H29">
        <v>0.995</v>
      </c>
      <c r="I29" t="s">
        <v>22</v>
      </c>
      <c r="J29" t="s">
        <v>19</v>
      </c>
    </row>
    <row r="30" spans="1:10" x14ac:dyDescent="0.2">
      <c r="A30" t="s">
        <v>44</v>
      </c>
      <c r="B30">
        <v>-1.1000000000000001E-3</v>
      </c>
      <c r="C30">
        <v>4.7300000000000002E-2</v>
      </c>
      <c r="D30">
        <f t="shared" si="0"/>
        <v>0.05</v>
      </c>
      <c r="E30">
        <v>-2.4E-2</v>
      </c>
      <c r="F30">
        <v>0.98080000000000001</v>
      </c>
      <c r="G30" t="s">
        <v>58</v>
      </c>
      <c r="H30">
        <v>0.99890000000000001</v>
      </c>
      <c r="I30" t="s">
        <v>22</v>
      </c>
      <c r="J30" t="s">
        <v>19</v>
      </c>
    </row>
    <row r="31" spans="1:10" x14ac:dyDescent="0.2">
      <c r="A31" t="s">
        <v>45</v>
      </c>
      <c r="B31">
        <v>2.0000000000000001E-4</v>
      </c>
      <c r="C31">
        <v>0</v>
      </c>
      <c r="D31">
        <f t="shared" si="0"/>
        <v>0</v>
      </c>
      <c r="E31">
        <v>4.6310000000000002</v>
      </c>
      <c r="F31">
        <v>0</v>
      </c>
      <c r="G31" t="s">
        <v>58</v>
      </c>
      <c r="H31">
        <v>1.0002</v>
      </c>
      <c r="I31" t="s">
        <v>10</v>
      </c>
      <c r="J31" t="s">
        <v>13</v>
      </c>
    </row>
    <row r="32" spans="1:10" x14ac:dyDescent="0.2">
      <c r="A32" t="s">
        <v>46</v>
      </c>
      <c r="B32">
        <v>0</v>
      </c>
      <c r="C32">
        <v>6.4500000000000002E-2</v>
      </c>
      <c r="D32">
        <f t="shared" si="0"/>
        <v>0.06</v>
      </c>
      <c r="E32">
        <v>0</v>
      </c>
      <c r="F32">
        <v>0.99970000000000003</v>
      </c>
      <c r="G32" t="s">
        <v>58</v>
      </c>
      <c r="H32">
        <v>1</v>
      </c>
      <c r="I32" t="s">
        <v>22</v>
      </c>
      <c r="J32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2">
      <c r="A2" t="s">
        <v>9</v>
      </c>
      <c r="B2">
        <v>-3.2926000000000002</v>
      </c>
      <c r="C2">
        <v>0.1187</v>
      </c>
      <c r="D2">
        <v>-27.73</v>
      </c>
      <c r="E2">
        <v>0</v>
      </c>
      <c r="F2" t="s">
        <v>59</v>
      </c>
      <c r="G2">
        <v>3.7199999999999997E-2</v>
      </c>
      <c r="H2" t="s">
        <v>10</v>
      </c>
      <c r="I2" t="s">
        <v>11</v>
      </c>
    </row>
    <row r="3" spans="1:9" x14ac:dyDescent="0.2">
      <c r="A3" t="s">
        <v>12</v>
      </c>
      <c r="B3">
        <v>1.1281000000000001</v>
      </c>
      <c r="C3">
        <v>1.5900000000000001E-2</v>
      </c>
      <c r="D3">
        <v>70.748999999999995</v>
      </c>
      <c r="E3">
        <v>0</v>
      </c>
      <c r="F3" t="s">
        <v>59</v>
      </c>
      <c r="G3">
        <v>3.0899000000000001</v>
      </c>
      <c r="H3" t="s">
        <v>10</v>
      </c>
      <c r="I3" t="s">
        <v>13</v>
      </c>
    </row>
    <row r="4" spans="1:9" x14ac:dyDescent="0.2">
      <c r="A4" t="s">
        <v>14</v>
      </c>
      <c r="B4">
        <v>0.23050000000000001</v>
      </c>
      <c r="C4">
        <v>9.3799999999999994E-2</v>
      </c>
      <c r="D4">
        <v>2.456</v>
      </c>
      <c r="E4">
        <v>1.4E-2</v>
      </c>
      <c r="F4" t="s">
        <v>59</v>
      </c>
      <c r="G4">
        <v>1.2592000000000001</v>
      </c>
      <c r="H4" t="s">
        <v>15</v>
      </c>
      <c r="I4" t="s">
        <v>13</v>
      </c>
    </row>
    <row r="5" spans="1:9" x14ac:dyDescent="0.2">
      <c r="A5" t="s">
        <v>16</v>
      </c>
      <c r="B5">
        <v>0.1512</v>
      </c>
      <c r="C5">
        <v>4.87E-2</v>
      </c>
      <c r="D5">
        <v>3.105</v>
      </c>
      <c r="E5">
        <v>1.9E-3</v>
      </c>
      <c r="F5" t="s">
        <v>59</v>
      </c>
      <c r="G5">
        <v>1.1632</v>
      </c>
      <c r="H5" t="s">
        <v>17</v>
      </c>
      <c r="I5" t="s">
        <v>13</v>
      </c>
    </row>
    <row r="6" spans="1:9" x14ac:dyDescent="0.2">
      <c r="A6" t="s">
        <v>18</v>
      </c>
      <c r="B6">
        <v>-0.1167</v>
      </c>
      <c r="C6">
        <v>3.3700000000000001E-2</v>
      </c>
      <c r="D6">
        <v>-3.4670000000000001</v>
      </c>
      <c r="E6">
        <v>5.0000000000000001E-4</v>
      </c>
      <c r="F6" t="s">
        <v>59</v>
      </c>
      <c r="G6">
        <v>0.88990000000000002</v>
      </c>
      <c r="H6" t="s">
        <v>10</v>
      </c>
      <c r="I6" t="s">
        <v>19</v>
      </c>
    </row>
    <row r="7" spans="1:9" x14ac:dyDescent="0.2">
      <c r="A7" t="s">
        <v>20</v>
      </c>
      <c r="B7">
        <v>-0.11070000000000001</v>
      </c>
      <c r="C7">
        <v>3.2399999999999998E-2</v>
      </c>
      <c r="D7">
        <v>-3.4119999999999999</v>
      </c>
      <c r="E7">
        <v>5.9999999999999995E-4</v>
      </c>
      <c r="F7" t="s">
        <v>59</v>
      </c>
      <c r="G7">
        <v>0.8952</v>
      </c>
      <c r="H7" t="s">
        <v>10</v>
      </c>
      <c r="I7" t="s">
        <v>19</v>
      </c>
    </row>
    <row r="8" spans="1:9" x14ac:dyDescent="0.2">
      <c r="A8" t="s">
        <v>21</v>
      </c>
      <c r="B8">
        <v>-0.1066</v>
      </c>
      <c r="C8">
        <v>6.8500000000000005E-2</v>
      </c>
      <c r="D8">
        <v>-1.556</v>
      </c>
      <c r="E8">
        <v>0.1196</v>
      </c>
      <c r="F8" t="s">
        <v>59</v>
      </c>
      <c r="G8">
        <v>0.89890000000000003</v>
      </c>
      <c r="H8" t="s">
        <v>22</v>
      </c>
      <c r="I8" t="s">
        <v>19</v>
      </c>
    </row>
    <row r="9" spans="1:9" x14ac:dyDescent="0.2">
      <c r="A9" t="s">
        <v>23</v>
      </c>
      <c r="B9">
        <v>0.1037</v>
      </c>
      <c r="C9">
        <v>4.65E-2</v>
      </c>
      <c r="D9">
        <v>2.2290000000000001</v>
      </c>
      <c r="E9">
        <v>2.58E-2</v>
      </c>
      <c r="F9" t="s">
        <v>59</v>
      </c>
      <c r="G9">
        <v>1.1093</v>
      </c>
      <c r="H9" t="s">
        <v>15</v>
      </c>
      <c r="I9" t="s">
        <v>13</v>
      </c>
    </row>
    <row r="10" spans="1:9" x14ac:dyDescent="0.2">
      <c r="A10" t="s">
        <v>24</v>
      </c>
      <c r="B10">
        <v>-0.10009999999999999</v>
      </c>
      <c r="C10">
        <v>4.6399999999999997E-2</v>
      </c>
      <c r="D10">
        <v>-2.1579999999999999</v>
      </c>
      <c r="E10">
        <v>3.09E-2</v>
      </c>
      <c r="F10" t="s">
        <v>59</v>
      </c>
      <c r="G10">
        <v>0.90480000000000005</v>
      </c>
      <c r="H10" t="s">
        <v>15</v>
      </c>
      <c r="I10" t="s">
        <v>19</v>
      </c>
    </row>
    <row r="11" spans="1:9" x14ac:dyDescent="0.2">
      <c r="A11" t="s">
        <v>25</v>
      </c>
      <c r="B11">
        <v>-9.3600000000000003E-2</v>
      </c>
      <c r="C11">
        <v>3.3099999999999997E-2</v>
      </c>
      <c r="D11">
        <v>-2.831</v>
      </c>
      <c r="E11">
        <v>4.5999999999999999E-3</v>
      </c>
      <c r="F11" t="s">
        <v>59</v>
      </c>
      <c r="G11">
        <v>0.91069999999999995</v>
      </c>
      <c r="H11" t="s">
        <v>17</v>
      </c>
      <c r="I11" t="s">
        <v>19</v>
      </c>
    </row>
    <row r="12" spans="1:9" x14ac:dyDescent="0.2">
      <c r="A12" t="s">
        <v>26</v>
      </c>
      <c r="B12">
        <v>9.11E-2</v>
      </c>
      <c r="C12">
        <v>3.3099999999999997E-2</v>
      </c>
      <c r="D12">
        <v>2.7509999999999999</v>
      </c>
      <c r="E12">
        <v>5.8999999999999999E-3</v>
      </c>
      <c r="F12" t="s">
        <v>59</v>
      </c>
      <c r="G12">
        <v>1.0953999999999999</v>
      </c>
      <c r="H12" t="s">
        <v>17</v>
      </c>
      <c r="I12" t="s">
        <v>13</v>
      </c>
    </row>
    <row r="13" spans="1:9" x14ac:dyDescent="0.2">
      <c r="A13" t="s">
        <v>27</v>
      </c>
      <c r="B13">
        <v>-7.8600000000000003E-2</v>
      </c>
      <c r="C13">
        <v>9.9599999999999994E-2</v>
      </c>
      <c r="D13">
        <v>-0.78900000000000003</v>
      </c>
      <c r="E13">
        <v>0.4299</v>
      </c>
      <c r="F13" t="s">
        <v>59</v>
      </c>
      <c r="G13">
        <v>0.9244</v>
      </c>
      <c r="H13" t="s">
        <v>22</v>
      </c>
      <c r="I13" t="s">
        <v>19</v>
      </c>
    </row>
    <row r="14" spans="1:9" x14ac:dyDescent="0.2">
      <c r="A14" t="s">
        <v>28</v>
      </c>
      <c r="B14">
        <v>6.1899999999999997E-2</v>
      </c>
      <c r="C14">
        <v>4.65E-2</v>
      </c>
      <c r="D14">
        <v>1.33</v>
      </c>
      <c r="E14">
        <v>0.18360000000000001</v>
      </c>
      <c r="F14" t="s">
        <v>59</v>
      </c>
      <c r="G14">
        <v>1.0638000000000001</v>
      </c>
      <c r="H14" t="s">
        <v>22</v>
      </c>
      <c r="I14" t="s">
        <v>13</v>
      </c>
    </row>
    <row r="15" spans="1:9" x14ac:dyDescent="0.2">
      <c r="A15" t="s">
        <v>29</v>
      </c>
      <c r="B15">
        <v>4.8300000000000003E-2</v>
      </c>
      <c r="C15">
        <v>3.3700000000000001E-2</v>
      </c>
      <c r="D15">
        <v>1.4319999999999999</v>
      </c>
      <c r="E15">
        <v>0.1522</v>
      </c>
      <c r="F15" t="s">
        <v>59</v>
      </c>
      <c r="G15">
        <v>1.0495000000000001</v>
      </c>
      <c r="H15" t="s">
        <v>22</v>
      </c>
      <c r="I15" t="s">
        <v>13</v>
      </c>
    </row>
    <row r="16" spans="1:9" x14ac:dyDescent="0.2">
      <c r="A16" t="s">
        <v>30</v>
      </c>
      <c r="B16">
        <v>-4.7E-2</v>
      </c>
      <c r="C16">
        <v>2.9600000000000001E-2</v>
      </c>
      <c r="D16">
        <v>-1.5860000000000001</v>
      </c>
      <c r="E16">
        <v>0.11260000000000001</v>
      </c>
      <c r="F16" t="s">
        <v>59</v>
      </c>
      <c r="G16">
        <v>0.95409999999999995</v>
      </c>
      <c r="H16" t="s">
        <v>22</v>
      </c>
      <c r="I16" t="s">
        <v>19</v>
      </c>
    </row>
    <row r="17" spans="1:9" x14ac:dyDescent="0.2">
      <c r="A17" t="s">
        <v>31</v>
      </c>
      <c r="B17">
        <v>4.65E-2</v>
      </c>
      <c r="C17">
        <v>9.8000000000000004E-2</v>
      </c>
      <c r="D17">
        <v>0.47399999999999998</v>
      </c>
      <c r="E17">
        <v>0.63519999999999999</v>
      </c>
      <c r="F17" t="s">
        <v>59</v>
      </c>
      <c r="G17">
        <v>1.0476000000000001</v>
      </c>
      <c r="H17" t="s">
        <v>22</v>
      </c>
      <c r="I17" t="s">
        <v>13</v>
      </c>
    </row>
    <row r="18" spans="1:9" x14ac:dyDescent="0.2">
      <c r="A18" t="s">
        <v>32</v>
      </c>
      <c r="B18">
        <v>4.5999999999999999E-2</v>
      </c>
      <c r="C18">
        <v>4.3400000000000001E-2</v>
      </c>
      <c r="D18">
        <v>1.06</v>
      </c>
      <c r="E18">
        <v>0.2893</v>
      </c>
      <c r="F18" t="s">
        <v>59</v>
      </c>
      <c r="G18">
        <v>1.0470999999999999</v>
      </c>
      <c r="H18" t="s">
        <v>22</v>
      </c>
      <c r="I18" t="s">
        <v>13</v>
      </c>
    </row>
    <row r="19" spans="1:9" x14ac:dyDescent="0.2">
      <c r="A19" t="s">
        <v>33</v>
      </c>
      <c r="B19">
        <v>-4.58E-2</v>
      </c>
      <c r="C19">
        <v>3.6499999999999998E-2</v>
      </c>
      <c r="D19">
        <v>-1.2569999999999999</v>
      </c>
      <c r="E19">
        <v>0.20880000000000001</v>
      </c>
      <c r="F19" t="s">
        <v>59</v>
      </c>
      <c r="G19">
        <v>0.95520000000000005</v>
      </c>
      <c r="H19" t="s">
        <v>22</v>
      </c>
      <c r="I19" t="s">
        <v>19</v>
      </c>
    </row>
    <row r="20" spans="1:9" x14ac:dyDescent="0.2">
      <c r="A20" t="s">
        <v>34</v>
      </c>
      <c r="B20">
        <v>-3.9300000000000002E-2</v>
      </c>
      <c r="C20">
        <v>1.9E-2</v>
      </c>
      <c r="D20">
        <v>-2.0699999999999998</v>
      </c>
      <c r="E20">
        <v>3.85E-2</v>
      </c>
      <c r="F20" t="s">
        <v>59</v>
      </c>
      <c r="G20">
        <v>0.96140000000000003</v>
      </c>
      <c r="H20" t="s">
        <v>15</v>
      </c>
      <c r="I20" t="s">
        <v>19</v>
      </c>
    </row>
    <row r="21" spans="1:9" x14ac:dyDescent="0.2">
      <c r="A21" t="s">
        <v>35</v>
      </c>
      <c r="B21">
        <v>-3.8699999999999998E-2</v>
      </c>
      <c r="C21">
        <v>3.6499999999999998E-2</v>
      </c>
      <c r="D21">
        <v>-1.0589999999999999</v>
      </c>
      <c r="E21">
        <v>0.28939999999999999</v>
      </c>
      <c r="F21" t="s">
        <v>59</v>
      </c>
      <c r="G21">
        <v>0.96209999999999996</v>
      </c>
      <c r="H21" t="s">
        <v>22</v>
      </c>
      <c r="I21" t="s">
        <v>19</v>
      </c>
    </row>
    <row r="22" spans="1:9" x14ac:dyDescent="0.2">
      <c r="A22" t="s">
        <v>36</v>
      </c>
      <c r="B22">
        <v>3.5400000000000001E-2</v>
      </c>
      <c r="C22">
        <v>3.56E-2</v>
      </c>
      <c r="D22">
        <v>0.996</v>
      </c>
      <c r="E22">
        <v>0.31909999999999999</v>
      </c>
      <c r="F22" t="s">
        <v>59</v>
      </c>
      <c r="G22">
        <v>1.0361</v>
      </c>
      <c r="H22" t="s">
        <v>22</v>
      </c>
      <c r="I22" t="s">
        <v>13</v>
      </c>
    </row>
    <row r="23" spans="1:9" x14ac:dyDescent="0.2">
      <c r="A23" t="s">
        <v>37</v>
      </c>
      <c r="B23">
        <v>-2.63E-2</v>
      </c>
      <c r="C23">
        <v>4.3900000000000002E-2</v>
      </c>
      <c r="D23">
        <v>-0.59899999999999998</v>
      </c>
      <c r="E23">
        <v>0.54920000000000002</v>
      </c>
      <c r="F23" t="s">
        <v>59</v>
      </c>
      <c r="G23">
        <v>0.97399999999999998</v>
      </c>
      <c r="H23" t="s">
        <v>22</v>
      </c>
      <c r="I23" t="s">
        <v>19</v>
      </c>
    </row>
    <row r="24" spans="1:9" x14ac:dyDescent="0.2">
      <c r="A24" t="s">
        <v>38</v>
      </c>
      <c r="B24">
        <v>-2.1499999999999998E-2</v>
      </c>
      <c r="C24">
        <v>3.4000000000000002E-2</v>
      </c>
      <c r="D24">
        <v>-0.63300000000000001</v>
      </c>
      <c r="E24">
        <v>0.52680000000000005</v>
      </c>
      <c r="F24" t="s">
        <v>59</v>
      </c>
      <c r="G24">
        <v>0.97870000000000001</v>
      </c>
      <c r="H24" t="s">
        <v>22</v>
      </c>
      <c r="I24" t="s">
        <v>19</v>
      </c>
    </row>
    <row r="25" spans="1:9" x14ac:dyDescent="0.2">
      <c r="A25" t="s">
        <v>39</v>
      </c>
      <c r="B25">
        <v>-1.5800000000000002E-2</v>
      </c>
      <c r="C25">
        <v>4.0500000000000001E-2</v>
      </c>
      <c r="D25">
        <v>-0.39</v>
      </c>
      <c r="E25">
        <v>0.69689999999999996</v>
      </c>
      <c r="F25" t="s">
        <v>59</v>
      </c>
      <c r="G25">
        <v>0.98429999999999995</v>
      </c>
      <c r="H25" t="s">
        <v>22</v>
      </c>
      <c r="I25" t="s">
        <v>19</v>
      </c>
    </row>
    <row r="26" spans="1:9" x14ac:dyDescent="0.2">
      <c r="A26" t="s">
        <v>40</v>
      </c>
      <c r="B26">
        <v>1.1299999999999999E-2</v>
      </c>
      <c r="C26">
        <v>4.02E-2</v>
      </c>
      <c r="D26">
        <v>0.28199999999999997</v>
      </c>
      <c r="E26">
        <v>0.77790000000000004</v>
      </c>
      <c r="F26" t="s">
        <v>59</v>
      </c>
      <c r="G26">
        <v>1.0114000000000001</v>
      </c>
      <c r="H26" t="s">
        <v>22</v>
      </c>
      <c r="I26" t="s">
        <v>13</v>
      </c>
    </row>
    <row r="27" spans="1:9" x14ac:dyDescent="0.2">
      <c r="A27" t="s">
        <v>41</v>
      </c>
      <c r="B27">
        <v>1.11E-2</v>
      </c>
      <c r="C27">
        <v>2.6800000000000001E-2</v>
      </c>
      <c r="D27">
        <v>0.41399999999999998</v>
      </c>
      <c r="E27">
        <v>0.67849999999999999</v>
      </c>
      <c r="F27" t="s">
        <v>59</v>
      </c>
      <c r="G27">
        <v>1.0112000000000001</v>
      </c>
      <c r="H27" t="s">
        <v>22</v>
      </c>
      <c r="I27" t="s">
        <v>13</v>
      </c>
    </row>
    <row r="28" spans="1:9" x14ac:dyDescent="0.2">
      <c r="A28" t="s">
        <v>42</v>
      </c>
      <c r="B28">
        <v>6.7000000000000002E-3</v>
      </c>
      <c r="C28">
        <v>2.8199999999999999E-2</v>
      </c>
      <c r="D28">
        <v>0.23899999999999999</v>
      </c>
      <c r="E28">
        <v>0.81120000000000003</v>
      </c>
      <c r="F28" t="s">
        <v>59</v>
      </c>
      <c r="G28">
        <v>1.0067999999999999</v>
      </c>
      <c r="H28" t="s">
        <v>22</v>
      </c>
      <c r="I28" t="s">
        <v>13</v>
      </c>
    </row>
    <row r="29" spans="1:9" x14ac:dyDescent="0.2">
      <c r="A29" t="s">
        <v>43</v>
      </c>
      <c r="B29">
        <v>-4.7999999999999996E-3</v>
      </c>
      <c r="C29">
        <v>2.9899999999999999E-2</v>
      </c>
      <c r="D29">
        <v>-0.16200000000000001</v>
      </c>
      <c r="E29">
        <v>0.87139999999999995</v>
      </c>
      <c r="F29" t="s">
        <v>59</v>
      </c>
      <c r="G29">
        <v>0.99519999999999997</v>
      </c>
      <c r="H29" t="s">
        <v>22</v>
      </c>
      <c r="I29" t="s">
        <v>19</v>
      </c>
    </row>
    <row r="30" spans="1:9" x14ac:dyDescent="0.2">
      <c r="A30" t="s">
        <v>48</v>
      </c>
      <c r="B30">
        <v>-4.7999999999999996E-3</v>
      </c>
      <c r="C30">
        <v>3.8E-3</v>
      </c>
      <c r="D30">
        <v>-1.2529999999999999</v>
      </c>
      <c r="E30">
        <v>0.2104</v>
      </c>
      <c r="F30" t="s">
        <v>59</v>
      </c>
      <c r="G30">
        <v>0.99519999999999997</v>
      </c>
      <c r="H30" t="s">
        <v>22</v>
      </c>
      <c r="I30" t="s">
        <v>19</v>
      </c>
    </row>
    <row r="31" spans="1:9" x14ac:dyDescent="0.2">
      <c r="A31" t="s">
        <v>49</v>
      </c>
      <c r="B31">
        <v>4.4000000000000003E-3</v>
      </c>
      <c r="C31">
        <v>4.1000000000000003E-3</v>
      </c>
      <c r="D31">
        <v>1.0649999999999999</v>
      </c>
      <c r="E31">
        <v>0.28670000000000001</v>
      </c>
      <c r="F31" t="s">
        <v>59</v>
      </c>
      <c r="G31">
        <v>1.0044</v>
      </c>
      <c r="H31" t="s">
        <v>22</v>
      </c>
      <c r="I31" t="s">
        <v>13</v>
      </c>
    </row>
    <row r="32" spans="1:9" x14ac:dyDescent="0.2">
      <c r="A32" t="s">
        <v>44</v>
      </c>
      <c r="B32">
        <v>-1.5E-3</v>
      </c>
      <c r="C32">
        <v>4.7300000000000002E-2</v>
      </c>
      <c r="D32">
        <v>-3.3000000000000002E-2</v>
      </c>
      <c r="E32">
        <v>0.97389999999999999</v>
      </c>
      <c r="F32" t="s">
        <v>59</v>
      </c>
      <c r="G32">
        <v>0.99850000000000005</v>
      </c>
      <c r="H32" t="s">
        <v>22</v>
      </c>
      <c r="I32" t="s">
        <v>19</v>
      </c>
    </row>
    <row r="33" spans="1:9" x14ac:dyDescent="0.2">
      <c r="A33" t="s">
        <v>46</v>
      </c>
      <c r="B33">
        <v>6.9999999999999999E-4</v>
      </c>
      <c r="C33">
        <v>6.4500000000000002E-2</v>
      </c>
      <c r="D33">
        <v>0.01</v>
      </c>
      <c r="E33">
        <v>0.9919</v>
      </c>
      <c r="F33" t="s">
        <v>59</v>
      </c>
      <c r="G33">
        <v>1.0006999999999999</v>
      </c>
      <c r="H33" t="s">
        <v>22</v>
      </c>
      <c r="I33" t="s">
        <v>13</v>
      </c>
    </row>
    <row r="34" spans="1:9" x14ac:dyDescent="0.2">
      <c r="A34" t="s">
        <v>47</v>
      </c>
      <c r="B34">
        <v>5.0000000000000001E-4</v>
      </c>
      <c r="C34">
        <v>1.4E-3</v>
      </c>
      <c r="D34">
        <v>0.36299999999999999</v>
      </c>
      <c r="E34">
        <v>0.71679999999999999</v>
      </c>
      <c r="F34" t="s">
        <v>59</v>
      </c>
      <c r="G34">
        <v>1.0004999999999999</v>
      </c>
      <c r="H34" t="s">
        <v>22</v>
      </c>
      <c r="I34" t="s">
        <v>13</v>
      </c>
    </row>
    <row r="35" spans="1:9" x14ac:dyDescent="0.2">
      <c r="A35" t="s">
        <v>45</v>
      </c>
      <c r="B35">
        <v>2.0000000000000001E-4</v>
      </c>
      <c r="C35">
        <v>0</v>
      </c>
      <c r="D35">
        <v>4.6360000000000001</v>
      </c>
      <c r="E35">
        <v>0</v>
      </c>
      <c r="F35" t="s">
        <v>59</v>
      </c>
      <c r="G35">
        <v>1.0002</v>
      </c>
      <c r="H35" t="s">
        <v>10</v>
      </c>
      <c r="I35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Wide (side-by-side)</vt:lpstr>
      <vt:lpstr>Without Weather</vt:lpstr>
      <vt:lpstr>With 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eliasroehrich</dc:creator>
  <cp:lastModifiedBy>t0lweegod1@goetheuniversitaet.onmicrosoft.com</cp:lastModifiedBy>
  <dcterms:created xsi:type="dcterms:W3CDTF">2026-06-27T13:33:01Z</dcterms:created>
  <dcterms:modified xsi:type="dcterms:W3CDTF">2026-06-27T17:42:29Z</dcterms:modified>
</cp:coreProperties>
</file>